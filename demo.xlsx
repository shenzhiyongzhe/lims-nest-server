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uperAlan\Desktop\"/>
    </mc:Choice>
  </mc:AlternateContent>
  <xr:revisionPtr revIDLastSave="0" documentId="13_ncr:1_{9FF89EFF-D176-47D7-977A-23B512DA997B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总表" sheetId="1" r:id="rId1"/>
    <sheet name="负责人001" sheetId="2" r:id="rId2"/>
    <sheet name="负责人002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1" i="2" l="1"/>
  <c r="X11" i="2"/>
  <c r="U11" i="2"/>
  <c r="Q15" i="2"/>
  <c r="Q14" i="2"/>
  <c r="O14" i="2"/>
  <c r="M14" i="2"/>
  <c r="J14" i="2"/>
  <c r="I14" i="2"/>
  <c r="K14" i="2" s="1"/>
  <c r="H14" i="2"/>
  <c r="Q13" i="2"/>
  <c r="Q12" i="2"/>
  <c r="O12" i="2"/>
  <c r="M12" i="2"/>
  <c r="J12" i="2"/>
  <c r="I12" i="2"/>
  <c r="K12" i="2" s="1"/>
  <c r="H12" i="2"/>
  <c r="F12" i="2" s="1"/>
  <c r="F14" i="2" l="1"/>
</calcChain>
</file>

<file path=xl/sharedStrings.xml><?xml version="1.0" encoding="utf-8"?>
<sst xmlns="http://schemas.openxmlformats.org/spreadsheetml/2006/main" count="45" uniqueCount="38">
  <si>
    <t>总报表</t>
  </si>
  <si>
    <t>总计</t>
  </si>
  <si>
    <t>收回本金</t>
  </si>
  <si>
    <t>收回利息</t>
  </si>
  <si>
    <t>负责人</t>
  </si>
  <si>
    <t>回佣</t>
  </si>
  <si>
    <t>后扣</t>
  </si>
  <si>
    <t>负责人001</t>
    <phoneticPr fontId="1" type="noConversion"/>
  </si>
  <si>
    <t>负责人002</t>
    <phoneticPr fontId="1" type="noConversion"/>
  </si>
  <si>
    <t>总计借出（loan_amount)</t>
    <phoneticPr fontId="1" type="noConversion"/>
  </si>
  <si>
    <t>本利收回(receving_amount)</t>
    <phoneticPr fontId="1" type="noConversion"/>
  </si>
  <si>
    <t>待收本金（loan_amount-receving_amount)</t>
    <phoneticPr fontId="1" type="noConversion"/>
  </si>
  <si>
    <t>实际成本(company_cost)</t>
    <phoneticPr fontId="1" type="noConversion"/>
  </si>
  <si>
    <t>收回本金（capital * repaid_period)</t>
    <phoneticPr fontId="1" type="noConversion"/>
  </si>
  <si>
    <t>收回利息(interest*repaid_period)</t>
    <phoneticPr fontId="1" type="noConversion"/>
  </si>
  <si>
    <t>总计回佣(to_hand_ratio*loan_amount)</t>
    <phoneticPr fontId="1" type="noConversion"/>
  </si>
  <si>
    <t>总计后扣(handling_fee)</t>
    <phoneticPr fontId="1" type="noConversion"/>
  </si>
  <si>
    <t>风控人001</t>
    <phoneticPr fontId="1" type="noConversion"/>
  </si>
  <si>
    <t>风控人</t>
    <phoneticPr fontId="1" type="noConversion"/>
  </si>
  <si>
    <t>风控人002</t>
    <phoneticPr fontId="1" type="noConversion"/>
  </si>
  <si>
    <t>序号</t>
  </si>
  <si>
    <t>姓名</t>
  </si>
  <si>
    <t>状态</t>
  </si>
  <si>
    <t>日期</t>
  </si>
  <si>
    <t>次数</t>
  </si>
  <si>
    <t>盈亏</t>
  </si>
  <si>
    <t>放出</t>
  </si>
  <si>
    <t>总收回</t>
  </si>
  <si>
    <t>未收本金</t>
  </si>
  <si>
    <t>成数</t>
  </si>
  <si>
    <t>后扣费用</t>
  </si>
  <si>
    <t>方案</t>
  </si>
  <si>
    <t>正常期数</t>
  </si>
  <si>
    <t>陈光当</t>
  </si>
  <si>
    <t>正常</t>
  </si>
  <si>
    <t>首</t>
  </si>
  <si>
    <t>黄鸿炜1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</si>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</sst>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24"/>
      <color rgb="FFFFFF00"/>
      <name val="等线"/>
      <family val="3"/>
      <charset val="134"/>
      <scheme val="minor"/>
    </font>
    <font>
      <sz val="12"/>
      <color theme="0"/>
      <name val="等线"/>
      <family val="3"/>
      <charset val="134"/>
      <scheme val="minor"/>
    </font>
    <font>
      <sz val="18"/>
      <color theme="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</fills>
  <borders count="2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8" tint="-0.499984740745262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medium">
        <color theme="8" tint="-0.499984740745262"/>
      </left>
      <right style="thin">
        <color theme="1"/>
      </right>
      <top style="thin">
        <color theme="1"/>
      </top>
      <bottom style="medium">
        <color rgb="FF0070C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70C0"/>
      </bottom>
      <diagonal/>
    </border>
    <border>
      <left style="thin">
        <color theme="1"/>
      </left>
      <right style="thin">
        <color theme="1"/>
      </right>
      <top/>
      <bottom style="medium">
        <color rgb="FF0070C0"/>
      </bottom>
      <diagonal/>
    </border>
    <border>
      <left style="thin">
        <color theme="1"/>
      </left>
      <right/>
      <top style="thin">
        <color theme="1"/>
      </top>
      <bottom style="medium">
        <color rgb="FF0070C0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 style="thin">
        <color theme="4"/>
      </right>
      <top style="medium">
        <color theme="4"/>
      </top>
      <bottom style="hair">
        <color theme="4"/>
      </bottom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thin">
        <color theme="4"/>
      </right>
      <top style="hair">
        <color theme="4"/>
      </top>
      <bottom style="medium">
        <color theme="4"/>
      </bottom>
      <diagonal/>
    </border>
    <border>
      <left style="thin">
        <color theme="4"/>
      </left>
      <right/>
      <top style="medium">
        <color theme="4"/>
      </top>
      <bottom style="hair">
        <color theme="4"/>
      </bottom>
      <diagonal/>
    </border>
    <border>
      <left/>
      <right/>
      <top style="medium">
        <color theme="4"/>
      </top>
      <bottom style="hair">
        <color theme="4"/>
      </bottom>
      <diagonal/>
    </border>
    <border>
      <left/>
      <right style="thin">
        <color theme="4"/>
      </right>
      <top style="medium">
        <color theme="4"/>
      </top>
      <bottom style="hair">
        <color theme="4"/>
      </bottom>
      <diagonal/>
    </border>
    <border>
      <left style="thin">
        <color theme="4"/>
      </left>
      <right/>
      <top style="hair">
        <color theme="4"/>
      </top>
      <bottom style="medium">
        <color theme="4"/>
      </bottom>
      <diagonal/>
    </border>
    <border>
      <left/>
      <right/>
      <top style="hair">
        <color theme="4"/>
      </top>
      <bottom style="medium">
        <color theme="4"/>
      </bottom>
      <diagonal/>
    </border>
    <border>
      <left/>
      <right style="thin">
        <color theme="4"/>
      </right>
      <top style="hair">
        <color theme="4"/>
      </top>
      <bottom style="medium">
        <color theme="4"/>
      </bottom>
      <diagonal/>
    </border>
    <border>
      <left style="thin">
        <color auto="1"/>
      </left>
      <right/>
      <top style="thin">
        <color theme="1"/>
      </top>
      <bottom/>
      <diagonal/>
    </border>
    <border>
      <left/>
      <right style="thin">
        <color auto="1"/>
      </right>
      <top style="thin">
        <color theme="1"/>
      </top>
      <bottom/>
      <diagonal/>
    </border>
    <border>
      <left style="thin">
        <color auto="1"/>
      </left>
      <right style="medium">
        <color auto="1"/>
      </right>
      <top style="thin">
        <color theme="1"/>
      </top>
      <bottom/>
      <diagonal/>
    </border>
    <border>
      <left/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4" borderId="4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9" fontId="6" fillId="7" borderId="14" xfId="0" applyNumberFormat="1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/>
    </xf>
    <xf numFmtId="9" fontId="6" fillId="5" borderId="14" xfId="0" applyNumberFormat="1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8" fillId="7" borderId="18" xfId="0" applyFont="1" applyFill="1" applyBorder="1" applyAlignment="1">
      <alignment horizontal="center" vertical="center"/>
    </xf>
    <xf numFmtId="0" fontId="8" fillId="7" borderId="19" xfId="0" applyFont="1" applyFill="1" applyBorder="1" applyAlignment="1">
      <alignment horizontal="center" vertical="center"/>
    </xf>
    <xf numFmtId="0" fontId="8" fillId="7" borderId="20" xfId="0" applyFont="1" applyFill="1" applyBorder="1" applyAlignment="1">
      <alignment horizontal="center" vertical="center"/>
    </xf>
    <xf numFmtId="0" fontId="8" fillId="7" borderId="2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horizontal="center" vertical="center"/>
    </xf>
    <xf numFmtId="0" fontId="8" fillId="10" borderId="18" xfId="0" applyFont="1" applyFill="1" applyBorder="1" applyAlignment="1">
      <alignment horizontal="center" vertical="center"/>
    </xf>
    <xf numFmtId="0" fontId="8" fillId="10" borderId="19" xfId="0" applyFont="1" applyFill="1" applyBorder="1" applyAlignment="1">
      <alignment horizontal="center" vertical="center"/>
    </xf>
    <xf numFmtId="0" fontId="8" fillId="10" borderId="20" xfId="0" applyFont="1" applyFill="1" applyBorder="1" applyAlignment="1">
      <alignment horizontal="center" vertical="center"/>
    </xf>
    <xf numFmtId="0" fontId="8" fillId="11" borderId="18" xfId="0" applyFont="1" applyFill="1" applyBorder="1" applyAlignment="1">
      <alignment horizontal="center" vertical="center"/>
    </xf>
    <xf numFmtId="0" fontId="8" fillId="11" borderId="19" xfId="0" applyFont="1" applyFill="1" applyBorder="1" applyAlignment="1">
      <alignment horizontal="center" vertical="center"/>
    </xf>
    <xf numFmtId="0" fontId="8" fillId="11" borderId="20" xfId="0" applyFont="1" applyFill="1" applyBorder="1" applyAlignment="1">
      <alignment horizontal="center" vertical="center"/>
    </xf>
    <xf numFmtId="0" fontId="8" fillId="10" borderId="21" xfId="0" applyFont="1" applyFill="1" applyBorder="1" applyAlignment="1">
      <alignment horizontal="center" vertical="center"/>
    </xf>
    <xf numFmtId="0" fontId="8" fillId="10" borderId="22" xfId="0" applyFont="1" applyFill="1" applyBorder="1" applyAlignment="1">
      <alignment horizontal="center" vertical="center"/>
    </xf>
    <xf numFmtId="0" fontId="8" fillId="10" borderId="23" xfId="0" applyFont="1" applyFill="1" applyBorder="1" applyAlignment="1">
      <alignment horizontal="center" vertical="center"/>
    </xf>
    <xf numFmtId="0" fontId="8" fillId="11" borderId="21" xfId="0" applyFont="1" applyFill="1" applyBorder="1" applyAlignment="1">
      <alignment horizontal="center" vertical="center"/>
    </xf>
    <xf numFmtId="0" fontId="8" fillId="11" borderId="22" xfId="0" applyFont="1" applyFill="1" applyBorder="1" applyAlignment="1">
      <alignment horizontal="center" vertical="center"/>
    </xf>
    <xf numFmtId="0" fontId="8" fillId="11" borderId="23" xfId="0" applyFont="1" applyFill="1" applyBorder="1" applyAlignment="1">
      <alignment horizontal="center" vertical="center"/>
    </xf>
    <xf numFmtId="0" fontId="4" fillId="8" borderId="24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center" vertical="center"/>
    </xf>
    <xf numFmtId="0" fontId="4" fillId="8" borderId="26" xfId="0" applyFont="1" applyFill="1" applyBorder="1" applyAlignment="1">
      <alignment horizontal="center" vertical="center"/>
    </xf>
    <xf numFmtId="0" fontId="4" fillId="12" borderId="27" xfId="0" applyFont="1" applyFill="1" applyBorder="1" applyAlignment="1">
      <alignment horizontal="center" vertical="center"/>
    </xf>
    <xf numFmtId="0" fontId="4" fillId="12" borderId="28" xfId="0" applyFont="1" applyFill="1" applyBorder="1" applyAlignment="1">
      <alignment horizontal="center" vertical="center"/>
    </xf>
  </cellXfs>
  <cellStyles count="1">
    <cellStyle name="常规" xfId="0" builtinId="0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M11:Z19"/>
  <sheetViews>
    <sheetView workbookViewId="0">
      <selection activeCell="N43" sqref="N43"/>
    </sheetView>
  </sheetViews>
  <sheetFormatPr defaultRowHeight="14" x14ac:dyDescent="0.3"/>
  <cols>
    <col min="13" max="13" width="12.6640625" customWidth="1"/>
    <col min="14" max="14" width="26.9140625" customWidth="1"/>
    <col min="15" max="15" width="28.1640625" customWidth="1"/>
    <col min="16" max="16" width="40.83203125" customWidth="1"/>
    <col min="17" max="17" width="25.08203125" customWidth="1"/>
    <col min="18" max="18" width="34.5" customWidth="1"/>
    <col min="19" max="19" width="39.58203125" customWidth="1"/>
    <col min="20" max="20" width="31.08203125" customWidth="1"/>
    <col min="21" max="21" width="20.58203125" customWidth="1"/>
  </cols>
  <sheetData>
    <row r="11" spans="13:26" ht="14.5" thickBot="1" x14ac:dyDescent="0.35"/>
    <row r="12" spans="13:26" ht="31" thickTop="1" thickBot="1" x14ac:dyDescent="0.35">
      <c r="M12" s="4" t="s">
        <v>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13:26" x14ac:dyDescent="0.3">
      <c r="M13" s="2" t="s">
        <v>1</v>
      </c>
      <c r="N13" s="3" t="s">
        <v>9</v>
      </c>
      <c r="O13" s="3" t="s">
        <v>12</v>
      </c>
      <c r="P13" s="3" t="s">
        <v>11</v>
      </c>
      <c r="Q13" s="3" t="s">
        <v>10</v>
      </c>
      <c r="R13" s="3" t="s">
        <v>13</v>
      </c>
      <c r="S13" s="3" t="s">
        <v>14</v>
      </c>
      <c r="T13" s="3" t="s">
        <v>15</v>
      </c>
      <c r="U13" s="3" t="s">
        <v>16</v>
      </c>
    </row>
    <row r="14" spans="13:26" x14ac:dyDescent="0.3">
      <c r="M14" s="1" t="s">
        <v>4</v>
      </c>
      <c r="N14">
        <v>2000</v>
      </c>
      <c r="O14">
        <v>1800</v>
      </c>
      <c r="P14">
        <v>1600</v>
      </c>
      <c r="Q14">
        <v>400</v>
      </c>
      <c r="R14">
        <v>200</v>
      </c>
      <c r="S14">
        <v>200</v>
      </c>
      <c r="T14">
        <v>200</v>
      </c>
      <c r="U14">
        <v>200</v>
      </c>
    </row>
    <row r="15" spans="13:26" x14ac:dyDescent="0.3">
      <c r="M15" t="s">
        <v>7</v>
      </c>
      <c r="N15">
        <v>1000</v>
      </c>
      <c r="O15">
        <v>900</v>
      </c>
      <c r="P15">
        <v>1000</v>
      </c>
      <c r="Q15">
        <v>400</v>
      </c>
      <c r="R15">
        <v>200</v>
      </c>
      <c r="S15">
        <v>200</v>
      </c>
      <c r="T15">
        <v>100</v>
      </c>
      <c r="U15">
        <v>100</v>
      </c>
    </row>
    <row r="16" spans="13:26" x14ac:dyDescent="0.3">
      <c r="M16" t="s">
        <v>8</v>
      </c>
      <c r="N16">
        <v>1000</v>
      </c>
      <c r="O16">
        <v>900</v>
      </c>
      <c r="P16">
        <v>600</v>
      </c>
      <c r="Q16">
        <v>0</v>
      </c>
      <c r="R16">
        <v>0</v>
      </c>
      <c r="S16">
        <v>0</v>
      </c>
      <c r="T16">
        <v>100</v>
      </c>
      <c r="U16">
        <v>100</v>
      </c>
    </row>
    <row r="17" spans="13:21" x14ac:dyDescent="0.3">
      <c r="M17" t="s">
        <v>18</v>
      </c>
      <c r="N17">
        <v>2000</v>
      </c>
      <c r="O17">
        <v>1800</v>
      </c>
      <c r="P17">
        <v>1600</v>
      </c>
      <c r="Q17">
        <v>400</v>
      </c>
      <c r="R17">
        <v>200</v>
      </c>
      <c r="S17">
        <v>200</v>
      </c>
      <c r="T17">
        <v>200</v>
      </c>
      <c r="U17">
        <v>200</v>
      </c>
    </row>
    <row r="18" spans="13:21" x14ac:dyDescent="0.3">
      <c r="M18" t="s">
        <v>17</v>
      </c>
      <c r="N18">
        <v>1000</v>
      </c>
      <c r="O18">
        <v>900</v>
      </c>
      <c r="P18">
        <v>1000</v>
      </c>
      <c r="Q18">
        <v>400</v>
      </c>
      <c r="R18">
        <v>200</v>
      </c>
      <c r="S18">
        <v>200</v>
      </c>
      <c r="T18">
        <v>100</v>
      </c>
      <c r="U18">
        <v>100</v>
      </c>
    </row>
    <row r="19" spans="13:21" x14ac:dyDescent="0.3">
      <c r="M19" t="s">
        <v>19</v>
      </c>
      <c r="N19">
        <v>1000</v>
      </c>
      <c r="O19">
        <v>900</v>
      </c>
      <c r="P19">
        <v>600</v>
      </c>
      <c r="Q19">
        <v>0</v>
      </c>
      <c r="R19">
        <v>0</v>
      </c>
      <c r="S19">
        <v>0</v>
      </c>
      <c r="T19">
        <v>100</v>
      </c>
      <c r="U19">
        <v>100</v>
      </c>
    </row>
  </sheetData>
  <mergeCells count="1">
    <mergeCell ref="M12:Z1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90486-ED53-4A77-9294-BAA288ABAF57}">
  <dimension ref="A2:BX15"/>
  <sheetViews>
    <sheetView tabSelected="1" workbookViewId="0">
      <selection activeCell="R45" sqref="R45"/>
    </sheetView>
  </sheetViews>
  <sheetFormatPr defaultRowHeight="14" x14ac:dyDescent="0.3"/>
  <cols>
    <col min="21" max="21" width="8.83203125" bestFit="1" customWidth="1"/>
  </cols>
  <sheetData>
    <row r="2" spans="1:76" ht="14.5" thickBot="1" x14ac:dyDescent="0.35"/>
    <row r="3" spans="1:76" ht="15.5" x14ac:dyDescent="0.3">
      <c r="AF3" s="35"/>
      <c r="AG3" s="36"/>
      <c r="AH3" s="37"/>
      <c r="AI3" s="35"/>
      <c r="AJ3" s="36"/>
      <c r="AK3" s="37"/>
      <c r="AL3" s="35"/>
      <c r="AM3" s="36"/>
      <c r="AN3" s="37"/>
      <c r="AO3" s="35"/>
      <c r="AP3" s="36"/>
      <c r="AQ3" s="37"/>
      <c r="AR3" s="35"/>
      <c r="AS3" s="36"/>
      <c r="AT3" s="37"/>
      <c r="AU3" s="35"/>
      <c r="AV3" s="36"/>
      <c r="AW3" s="37"/>
      <c r="AX3" s="35"/>
      <c r="AY3" s="36"/>
      <c r="AZ3" s="37"/>
      <c r="BA3" s="35"/>
      <c r="BB3" s="36"/>
      <c r="BC3" s="37"/>
      <c r="BD3" s="35"/>
      <c r="BE3" s="36"/>
      <c r="BF3" s="37"/>
      <c r="BG3" s="35"/>
      <c r="BH3" s="36"/>
      <c r="BI3" s="37"/>
      <c r="BJ3" s="35"/>
      <c r="BK3" s="36"/>
      <c r="BL3" s="37"/>
      <c r="BM3" s="35"/>
      <c r="BN3" s="36"/>
      <c r="BO3" s="37"/>
      <c r="BP3" s="35"/>
      <c r="BQ3" s="36"/>
      <c r="BR3" s="37"/>
      <c r="BS3" s="35"/>
      <c r="BT3" s="36"/>
      <c r="BU3" s="37"/>
      <c r="BV3" s="35"/>
      <c r="BW3" s="36"/>
      <c r="BX3" s="37"/>
    </row>
    <row r="4" spans="1:76" ht="16" thickBot="1" x14ac:dyDescent="0.35">
      <c r="AF4" s="38"/>
      <c r="AG4" s="39"/>
      <c r="AH4" s="40"/>
      <c r="AI4" s="38"/>
      <c r="AJ4" s="39"/>
      <c r="AK4" s="40"/>
      <c r="AL4" s="38"/>
      <c r="AM4" s="39"/>
      <c r="AN4" s="40"/>
      <c r="AO4" s="38"/>
      <c r="AP4" s="39"/>
      <c r="AQ4" s="40"/>
      <c r="AR4" s="38"/>
      <c r="AS4" s="39"/>
      <c r="AT4" s="40"/>
      <c r="AU4" s="38"/>
      <c r="AV4" s="39"/>
      <c r="AW4" s="40"/>
      <c r="AX4" s="38"/>
      <c r="AY4" s="39"/>
      <c r="AZ4" s="40"/>
      <c r="BA4" s="38"/>
      <c r="BB4" s="39"/>
      <c r="BC4" s="40"/>
      <c r="BD4" s="38"/>
      <c r="BE4" s="39"/>
      <c r="BF4" s="40"/>
      <c r="BG4" s="38"/>
      <c r="BH4" s="39"/>
      <c r="BI4" s="40"/>
      <c r="BJ4" s="38"/>
      <c r="BK4" s="39"/>
      <c r="BL4" s="40"/>
      <c r="BM4" s="38"/>
      <c r="BN4" s="39"/>
      <c r="BO4" s="40"/>
      <c r="BP4" s="38"/>
      <c r="BQ4" s="39"/>
      <c r="BR4" s="40"/>
      <c r="BS4" s="38"/>
      <c r="BT4" s="39"/>
      <c r="BU4" s="40"/>
      <c r="BV4" s="38"/>
      <c r="BW4" s="39"/>
      <c r="BX4" s="40"/>
    </row>
    <row r="5" spans="1:76" ht="15.5" x14ac:dyDescent="0.3">
      <c r="AF5" s="35"/>
      <c r="AG5" s="36"/>
      <c r="AH5" s="37"/>
      <c r="AI5" s="35"/>
      <c r="AJ5" s="36"/>
      <c r="AK5" s="37"/>
      <c r="AL5" s="35"/>
      <c r="AM5" s="36"/>
      <c r="AN5" s="37"/>
      <c r="AO5" s="41"/>
      <c r="AP5" s="42"/>
      <c r="AQ5" s="43"/>
      <c r="AR5" s="35"/>
      <c r="AS5" s="36"/>
      <c r="AT5" s="37"/>
      <c r="AU5" s="35"/>
      <c r="AV5" s="36"/>
      <c r="AW5" s="37"/>
      <c r="AX5" s="35"/>
      <c r="AY5" s="36"/>
      <c r="AZ5" s="37"/>
      <c r="BA5" s="35"/>
      <c r="BB5" s="36"/>
      <c r="BC5" s="37"/>
      <c r="BD5" s="35"/>
      <c r="BE5" s="36"/>
      <c r="BF5" s="37"/>
      <c r="BG5" s="35"/>
      <c r="BH5" s="36"/>
      <c r="BI5" s="37"/>
      <c r="BJ5" s="35"/>
      <c r="BK5" s="36"/>
      <c r="BL5" s="37"/>
      <c r="BM5" s="35"/>
      <c r="BN5" s="36"/>
      <c r="BO5" s="37"/>
      <c r="BP5" s="35"/>
      <c r="BQ5" s="36"/>
      <c r="BR5" s="37"/>
      <c r="BS5" s="44"/>
      <c r="BT5" s="45"/>
      <c r="BU5" s="46"/>
      <c r="BV5" s="44"/>
      <c r="BW5" s="45"/>
      <c r="BX5" s="46"/>
    </row>
    <row r="6" spans="1:76" ht="16" thickBot="1" x14ac:dyDescent="0.35">
      <c r="AF6" s="38"/>
      <c r="AG6" s="39"/>
      <c r="AH6" s="40"/>
      <c r="AI6" s="38"/>
      <c r="AJ6" s="39"/>
      <c r="AK6" s="40"/>
      <c r="AL6" s="38"/>
      <c r="AM6" s="39"/>
      <c r="AN6" s="40"/>
      <c r="AO6" s="47"/>
      <c r="AP6" s="48"/>
      <c r="AQ6" s="49"/>
      <c r="AR6" s="38"/>
      <c r="AS6" s="39"/>
      <c r="AT6" s="40"/>
      <c r="AU6" s="38"/>
      <c r="AV6" s="39"/>
      <c r="AW6" s="40"/>
      <c r="AX6" s="38"/>
      <c r="AY6" s="39"/>
      <c r="AZ6" s="40"/>
      <c r="BA6" s="38"/>
      <c r="BB6" s="39"/>
      <c r="BC6" s="40"/>
      <c r="BD6" s="38"/>
      <c r="BE6" s="39"/>
      <c r="BF6" s="40"/>
      <c r="BG6" s="38"/>
      <c r="BH6" s="39"/>
      <c r="BI6" s="40"/>
      <c r="BJ6" s="38"/>
      <c r="BK6" s="39"/>
      <c r="BL6" s="40"/>
      <c r="BM6" s="38"/>
      <c r="BN6" s="39"/>
      <c r="BO6" s="40"/>
      <c r="BP6" s="38"/>
      <c r="BQ6" s="39"/>
      <c r="BR6" s="40"/>
      <c r="BS6" s="50"/>
      <c r="BT6" s="51"/>
      <c r="BU6" s="52"/>
      <c r="BV6" s="50"/>
      <c r="BW6" s="51"/>
      <c r="BX6" s="52"/>
    </row>
    <row r="10" spans="1:76" ht="15.5" x14ac:dyDescent="0.3">
      <c r="A10" s="7" t="s">
        <v>20</v>
      </c>
      <c r="B10" s="8" t="s">
        <v>21</v>
      </c>
      <c r="C10" s="9" t="s">
        <v>22</v>
      </c>
      <c r="D10" s="9" t="s">
        <v>23</v>
      </c>
      <c r="E10" s="9" t="s">
        <v>24</v>
      </c>
      <c r="F10" s="10" t="s">
        <v>25</v>
      </c>
      <c r="G10" s="10" t="s">
        <v>26</v>
      </c>
      <c r="H10" s="10" t="s">
        <v>27</v>
      </c>
      <c r="I10" s="10" t="s">
        <v>2</v>
      </c>
      <c r="J10" s="10" t="s">
        <v>3</v>
      </c>
      <c r="K10" s="10" t="s">
        <v>28</v>
      </c>
      <c r="L10" s="9" t="s">
        <v>29</v>
      </c>
      <c r="M10" s="9" t="s">
        <v>5</v>
      </c>
      <c r="N10" s="10" t="s">
        <v>6</v>
      </c>
      <c r="O10" s="10" t="s">
        <v>30</v>
      </c>
      <c r="P10" s="9" t="s">
        <v>31</v>
      </c>
      <c r="Q10" s="11" t="s">
        <v>32</v>
      </c>
      <c r="T10" s="53" t="s">
        <v>23</v>
      </c>
      <c r="U10" s="54"/>
      <c r="V10" s="55">
        <v>11</v>
      </c>
      <c r="W10" s="53" t="s">
        <v>23</v>
      </c>
      <c r="X10" s="54"/>
      <c r="Y10" s="55">
        <v>12</v>
      </c>
      <c r="Z10" s="53" t="s">
        <v>23</v>
      </c>
      <c r="AA10" s="54"/>
      <c r="AB10" s="55">
        <v>13</v>
      </c>
    </row>
    <row r="11" spans="1:76" ht="16" thickBot="1" x14ac:dyDescent="0.35">
      <c r="A11" s="12"/>
      <c r="B11" s="13"/>
      <c r="C11" s="14"/>
      <c r="D11" s="14"/>
      <c r="E11" s="14"/>
      <c r="F11" s="15"/>
      <c r="G11" s="15"/>
      <c r="H11" s="15"/>
      <c r="I11" s="15"/>
      <c r="J11" s="15"/>
      <c r="K11" s="15"/>
      <c r="L11" s="14"/>
      <c r="M11" s="14"/>
      <c r="N11" s="15"/>
      <c r="O11" s="15"/>
      <c r="P11" s="14"/>
      <c r="Q11" s="16"/>
      <c r="T11" s="56" t="s">
        <v>37</v>
      </c>
      <c r="U11" s="57">
        <f>SUM(T14:V15)</f>
        <v>320</v>
      </c>
      <c r="W11" s="56" t="s">
        <v>37</v>
      </c>
      <c r="X11" s="57">
        <f>SUM(W14:Y15)</f>
        <v>320</v>
      </c>
      <c r="Z11" s="56" t="s">
        <v>37</v>
      </c>
      <c r="AA11" s="57">
        <f>SUM(Z14:AB15)</f>
        <v>320</v>
      </c>
    </row>
    <row r="12" spans="1:76" ht="15.5" x14ac:dyDescent="0.3">
      <c r="A12" s="17">
        <v>1</v>
      </c>
      <c r="B12" s="18" t="s">
        <v>33</v>
      </c>
      <c r="C12" s="19" t="s">
        <v>34</v>
      </c>
      <c r="D12" s="19">
        <v>2.21</v>
      </c>
      <c r="E12" s="19" t="s">
        <v>35</v>
      </c>
      <c r="F12" s="20">
        <f>SUM(H12-G12+M12)</f>
        <v>0</v>
      </c>
      <c r="G12" s="19"/>
      <c r="H12" s="21">
        <f>SUM(R3:VQU4)</f>
        <v>0</v>
      </c>
      <c r="I12" s="21">
        <f>SUM(R3:VQU3)</f>
        <v>0</v>
      </c>
      <c r="J12" s="21">
        <f>SUM(R4:VQU4)</f>
        <v>0</v>
      </c>
      <c r="K12" s="21">
        <f>G12-I12</f>
        <v>0</v>
      </c>
      <c r="L12" s="22">
        <v>0.1</v>
      </c>
      <c r="M12" s="23">
        <f>G12*L12</f>
        <v>0</v>
      </c>
      <c r="N12" s="24">
        <v>0.03</v>
      </c>
      <c r="O12" s="21">
        <f>G12*N12</f>
        <v>0</v>
      </c>
      <c r="P12" s="25"/>
      <c r="Q12" s="26">
        <f>COUNT(R3:VQU3)</f>
        <v>0</v>
      </c>
      <c r="T12" s="35"/>
      <c r="U12" s="36"/>
      <c r="V12" s="37"/>
      <c r="W12" s="35"/>
      <c r="X12" s="36"/>
      <c r="Y12" s="37"/>
      <c r="Z12" s="35"/>
      <c r="AA12" s="36"/>
      <c r="AB12" s="37"/>
      <c r="AC12" s="35"/>
      <c r="AD12" s="36"/>
      <c r="AE12" s="37"/>
    </row>
    <row r="13" spans="1:76" ht="16" thickBot="1" x14ac:dyDescent="0.35">
      <c r="A13" s="27"/>
      <c r="B13" s="28"/>
      <c r="C13" s="29"/>
      <c r="D13" s="29"/>
      <c r="E13" s="29"/>
      <c r="F13" s="30"/>
      <c r="G13" s="29"/>
      <c r="H13" s="31"/>
      <c r="I13" s="31"/>
      <c r="J13" s="31"/>
      <c r="K13" s="31"/>
      <c r="L13" s="29"/>
      <c r="M13" s="32"/>
      <c r="N13" s="31"/>
      <c r="O13" s="31"/>
      <c r="P13" s="33"/>
      <c r="Q13" s="34">
        <f>COUNT(R4:VQU4)</f>
        <v>0</v>
      </c>
      <c r="T13" s="38"/>
      <c r="U13" s="39"/>
      <c r="V13" s="40"/>
      <c r="W13" s="38"/>
      <c r="X13" s="39"/>
      <c r="Y13" s="40"/>
      <c r="Z13" s="38"/>
      <c r="AA13" s="39"/>
      <c r="AB13" s="40"/>
      <c r="AC13" s="38"/>
      <c r="AD13" s="39"/>
      <c r="AE13" s="40"/>
    </row>
    <row r="14" spans="1:76" ht="15.5" x14ac:dyDescent="0.3">
      <c r="A14" s="17">
        <v>2</v>
      </c>
      <c r="B14" s="18" t="s">
        <v>36</v>
      </c>
      <c r="C14" s="19" t="s">
        <v>34</v>
      </c>
      <c r="D14" s="19">
        <v>2.11</v>
      </c>
      <c r="E14" s="19" t="s">
        <v>35</v>
      </c>
      <c r="F14" s="20">
        <f>SUM(H14-G14+M14)</f>
        <v>-9000</v>
      </c>
      <c r="G14" s="19">
        <v>10000</v>
      </c>
      <c r="H14" s="21">
        <f>SUM(R5:VQU6)</f>
        <v>0</v>
      </c>
      <c r="I14" s="21">
        <f>SUM(R5:VQU5)</f>
        <v>0</v>
      </c>
      <c r="J14" s="21">
        <f>SUM(R6:VQU6)</f>
        <v>0</v>
      </c>
      <c r="K14" s="21">
        <f>G14-I14</f>
        <v>10000</v>
      </c>
      <c r="L14" s="22">
        <v>0.1</v>
      </c>
      <c r="M14" s="23">
        <f>G14*L14</f>
        <v>1000</v>
      </c>
      <c r="N14" s="24">
        <v>0.03</v>
      </c>
      <c r="O14" s="21">
        <f>G14*N14</f>
        <v>300</v>
      </c>
      <c r="P14" s="25">
        <v>200</v>
      </c>
      <c r="Q14" s="26">
        <f>COUNT(R5:VQU5)</f>
        <v>0</v>
      </c>
      <c r="T14" s="35">
        <v>200</v>
      </c>
      <c r="U14" s="36"/>
      <c r="V14" s="37"/>
      <c r="W14" s="35">
        <v>200</v>
      </c>
      <c r="X14" s="36"/>
      <c r="Y14" s="37"/>
      <c r="Z14" s="35">
        <v>200</v>
      </c>
      <c r="AA14" s="36"/>
      <c r="AB14" s="37"/>
      <c r="AC14" s="35"/>
      <c r="AD14" s="36"/>
      <c r="AE14" s="37"/>
    </row>
    <row r="15" spans="1:76" ht="16" thickBot="1" x14ac:dyDescent="0.35">
      <c r="A15" s="27"/>
      <c r="B15" s="28"/>
      <c r="C15" s="29"/>
      <c r="D15" s="29"/>
      <c r="E15" s="29"/>
      <c r="F15" s="30"/>
      <c r="G15" s="29"/>
      <c r="H15" s="31"/>
      <c r="I15" s="31"/>
      <c r="J15" s="31"/>
      <c r="K15" s="31"/>
      <c r="L15" s="29"/>
      <c r="M15" s="32"/>
      <c r="N15" s="31"/>
      <c r="O15" s="31"/>
      <c r="P15" s="33">
        <v>120</v>
      </c>
      <c r="Q15" s="34">
        <f>COUNT(R6:VQU6)</f>
        <v>0</v>
      </c>
      <c r="T15" s="38">
        <v>120</v>
      </c>
      <c r="U15" s="39"/>
      <c r="V15" s="40"/>
      <c r="W15" s="38">
        <v>120</v>
      </c>
      <c r="X15" s="39"/>
      <c r="Y15" s="40"/>
      <c r="Z15" s="38">
        <v>120</v>
      </c>
      <c r="AA15" s="39"/>
      <c r="AB15" s="40"/>
      <c r="AC15" s="38"/>
      <c r="AD15" s="39"/>
      <c r="AE15" s="40"/>
    </row>
  </sheetData>
  <mergeCells count="126">
    <mergeCell ref="BV6:BX6"/>
    <mergeCell ref="T10:U10"/>
    <mergeCell ref="W10:X10"/>
    <mergeCell ref="Z10:AA10"/>
    <mergeCell ref="BD6:BF6"/>
    <mergeCell ref="BG6:BI6"/>
    <mergeCell ref="BJ6:BL6"/>
    <mergeCell ref="BM6:BO6"/>
    <mergeCell ref="BP6:BR6"/>
    <mergeCell ref="BS6:BU6"/>
    <mergeCell ref="AL6:AN6"/>
    <mergeCell ref="AO6:AQ6"/>
    <mergeCell ref="AR6:AT6"/>
    <mergeCell ref="AU6:AW6"/>
    <mergeCell ref="AX6:AZ6"/>
    <mergeCell ref="BA6:BC6"/>
    <mergeCell ref="BM5:BO5"/>
    <mergeCell ref="BP5:BR5"/>
    <mergeCell ref="BS5:BU5"/>
    <mergeCell ref="BV5:BX5"/>
    <mergeCell ref="T15:V15"/>
    <mergeCell ref="W15:Y15"/>
    <mergeCell ref="Z15:AB15"/>
    <mergeCell ref="AC15:AE15"/>
    <mergeCell ref="AF6:AH6"/>
    <mergeCell ref="AI6:AK6"/>
    <mergeCell ref="AU5:AW5"/>
    <mergeCell ref="AX5:AZ5"/>
    <mergeCell ref="BA5:BC5"/>
    <mergeCell ref="BD5:BF5"/>
    <mergeCell ref="BG5:BI5"/>
    <mergeCell ref="BJ5:BL5"/>
    <mergeCell ref="BV4:BX4"/>
    <mergeCell ref="T14:V14"/>
    <mergeCell ref="W14:Y14"/>
    <mergeCell ref="Z14:AB14"/>
    <mergeCell ref="AC14:AE14"/>
    <mergeCell ref="AF5:AH5"/>
    <mergeCell ref="AI5:AK5"/>
    <mergeCell ref="AL5:AN5"/>
    <mergeCell ref="AO5:AQ5"/>
    <mergeCell ref="AR5:AT5"/>
    <mergeCell ref="BD4:BF4"/>
    <mergeCell ref="BG4:BI4"/>
    <mergeCell ref="BJ4:BL4"/>
    <mergeCell ref="BM4:BO4"/>
    <mergeCell ref="BP4:BR4"/>
    <mergeCell ref="BS4:BU4"/>
    <mergeCell ref="AL4:AN4"/>
    <mergeCell ref="AO4:AQ4"/>
    <mergeCell ref="AR4:AT4"/>
    <mergeCell ref="AU4:AW4"/>
    <mergeCell ref="AX4:AZ4"/>
    <mergeCell ref="BA4:BC4"/>
    <mergeCell ref="BM3:BO3"/>
    <mergeCell ref="BP3:BR3"/>
    <mergeCell ref="BS3:BU3"/>
    <mergeCell ref="BV3:BX3"/>
    <mergeCell ref="T13:V13"/>
    <mergeCell ref="W13:Y13"/>
    <mergeCell ref="Z13:AB13"/>
    <mergeCell ref="AC13:AE13"/>
    <mergeCell ref="AF4:AH4"/>
    <mergeCell ref="AI4:AK4"/>
    <mergeCell ref="AU3:AW3"/>
    <mergeCell ref="AX3:AZ3"/>
    <mergeCell ref="BA3:BC3"/>
    <mergeCell ref="BD3:BF3"/>
    <mergeCell ref="BG3:BI3"/>
    <mergeCell ref="BJ3:BL3"/>
    <mergeCell ref="AC12:AE12"/>
    <mergeCell ref="AF3:AH3"/>
    <mergeCell ref="AI3:AK3"/>
    <mergeCell ref="AL3:AN3"/>
    <mergeCell ref="AO3:AQ3"/>
    <mergeCell ref="AR3:AT3"/>
    <mergeCell ref="M14:M15"/>
    <mergeCell ref="N14:N15"/>
    <mergeCell ref="O14:O15"/>
    <mergeCell ref="T12:V12"/>
    <mergeCell ref="W12:Y12"/>
    <mergeCell ref="Z12:AB12"/>
    <mergeCell ref="G14:G15"/>
    <mergeCell ref="H14:H15"/>
    <mergeCell ref="I14:I15"/>
    <mergeCell ref="J14:J15"/>
    <mergeCell ref="K14:K15"/>
    <mergeCell ref="L14:L15"/>
    <mergeCell ref="L12:L13"/>
    <mergeCell ref="M12:M13"/>
    <mergeCell ref="N12:N13"/>
    <mergeCell ref="O12:O13"/>
    <mergeCell ref="A14:A15"/>
    <mergeCell ref="B14:B15"/>
    <mergeCell ref="C14:C15"/>
    <mergeCell ref="D14:D15"/>
    <mergeCell ref="E14:E15"/>
    <mergeCell ref="F14:F15"/>
    <mergeCell ref="F12:F13"/>
    <mergeCell ref="G12:G13"/>
    <mergeCell ref="H12:H13"/>
    <mergeCell ref="I12:I13"/>
    <mergeCell ref="J12:J13"/>
    <mergeCell ref="K12:K13"/>
    <mergeCell ref="M10:M11"/>
    <mergeCell ref="N10:N11"/>
    <mergeCell ref="O10:O11"/>
    <mergeCell ref="P10:P11"/>
    <mergeCell ref="Q10:Q11"/>
    <mergeCell ref="A12:A13"/>
    <mergeCell ref="B12:B13"/>
    <mergeCell ref="C12:C13"/>
    <mergeCell ref="D12:D13"/>
    <mergeCell ref="E12:E13"/>
    <mergeCell ref="G10:G11"/>
    <mergeCell ref="H10:H11"/>
    <mergeCell ref="I10:I11"/>
    <mergeCell ref="J10:J11"/>
    <mergeCell ref="K10:K11"/>
    <mergeCell ref="L10:L11"/>
    <mergeCell ref="A10:A11"/>
    <mergeCell ref="B10:B11"/>
    <mergeCell ref="C10:C11"/>
    <mergeCell ref="D10:D11"/>
    <mergeCell ref="E10:E11"/>
    <mergeCell ref="F10:F11"/>
  </mergeCells>
  <phoneticPr fontId="1" type="noConversion"/>
  <conditionalFormatting sqref="F12:F15">
    <cfRule type="cellIs" dxfId="1" priority="1" operator="greaterThan">
      <formula>0</formula>
    </cfRule>
  </conditionalFormatting>
  <conditionalFormatting sqref="F12:F15"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1428E-3880-440B-A24E-208E8813EAB3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总表</vt:lpstr>
      <vt:lpstr>负责人001</vt:lpstr>
      <vt:lpstr>负责人002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SuperAlan</dc:creator>
  <cp:lastModifiedBy>选 梅</cp:lastModifiedBy>
  <dcterms:created xsi:type="dcterms:W3CDTF">2015-06-05T18:19:34Z</dcterms:created>
  <dcterms:modified xsi:type="dcterms:W3CDTF">2025-11-12T12:51:41Z</dcterms:modified>
</cp:coreProperties>
</file>